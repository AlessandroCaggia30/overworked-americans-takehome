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autoCompressPictures="0"/>
  <bookViews>
    <workbookView xWindow="0" yWindow="0" windowWidth="25600" windowHeight="14480" tabRatio="500"/>
  </bookViews>
  <sheets>
    <sheet name="Table2(IGE)" sheetId="5" r:id="rId1"/>
  </sheets>
  <definedNames>
    <definedName name="_xlnm.Print_Area" localSheetId="0">'Table2(IGE)'!$A$1:$K$13</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I11" i="5" l="1"/>
  <c r="I10" i="5"/>
  <c r="I9" i="5"/>
  <c r="I8" i="5"/>
  <c r="I7" i="5"/>
  <c r="I6" i="5"/>
  <c r="K11" i="5"/>
  <c r="K10" i="5"/>
  <c r="K9" i="5"/>
  <c r="K8" i="5"/>
  <c r="K7" i="5"/>
  <c r="K6" i="5"/>
  <c r="N11" i="5"/>
  <c r="O11" i="5"/>
  <c r="G11" i="5"/>
  <c r="G10" i="5"/>
  <c r="G9" i="5"/>
  <c r="G8" i="5"/>
  <c r="G7" i="5"/>
  <c r="G6" i="5"/>
  <c r="N6" i="5"/>
  <c r="Q11" i="5"/>
  <c r="Q10" i="5"/>
  <c r="Q9" i="5"/>
  <c r="Q8" i="5"/>
  <c r="Q7" i="5"/>
  <c r="O6" i="5"/>
  <c r="Q6" i="5"/>
  <c r="O7" i="5"/>
  <c r="O8" i="5"/>
  <c r="O9" i="5"/>
  <c r="O10" i="5"/>
  <c r="E11" i="5"/>
  <c r="E10" i="5"/>
  <c r="E9" i="5"/>
  <c r="E8" i="5"/>
  <c r="E7" i="5"/>
  <c r="E6" i="5"/>
</calcChain>
</file>

<file path=xl/sharedStrings.xml><?xml version="1.0" encoding="utf-8"?>
<sst xmlns="http://schemas.openxmlformats.org/spreadsheetml/2006/main" count="29" uniqueCount="29">
  <si>
    <t>(1)</t>
  </si>
  <si>
    <t>(2)</t>
  </si>
  <si>
    <t>(3)</t>
  </si>
  <si>
    <t>(4)</t>
  </si>
  <si>
    <t>(5)</t>
  </si>
  <si>
    <t>z= 25th percentile</t>
  </si>
  <si>
    <t>z= 50th percentile</t>
  </si>
  <si>
    <t>z= 75th percentile</t>
  </si>
  <si>
    <t>z= 90th percentile</t>
  </si>
  <si>
    <t>z= 99th percentile</t>
  </si>
  <si>
    <t>z= 99.9th percentile</t>
  </si>
  <si>
    <t>Implied social welfare weight G(z) above each percentile</t>
  </si>
  <si>
    <t>Implied optimal marginal tax rate at each percentile</t>
  </si>
  <si>
    <t>Memo:</t>
  </si>
  <si>
    <t>G(z) for utilitarian criterion</t>
  </si>
  <si>
    <t>z (2008 PUF tax file, $ 2008)</t>
  </si>
  <si>
    <t>z*h(z)</t>
  </si>
  <si>
    <t>a=(zh)/(1-H)</t>
  </si>
  <si>
    <t>Rawls tau=1/(1+a e)</t>
  </si>
  <si>
    <t>elasticity =</t>
  </si>
  <si>
    <t>Table 2: Equality of Opportunity vs. Utilitarian Optimal Tax Rates</t>
  </si>
  <si>
    <t>Utilitarian social welfare weight G(z) above each percentile</t>
  </si>
  <si>
    <t>Income percentile</t>
  </si>
  <si>
    <t xml:space="preserve">Equality of Opportunity </t>
  </si>
  <si>
    <t>Utilitarian (log-utility)</t>
  </si>
  <si>
    <t>Fraction from low background (=parents below median) above each percentile</t>
  </si>
  <si>
    <r>
      <t>Notes: This table compares optimal marginal tax rates at various percentiles of the distribution (listed by row) using an equality of opportunity criterion (in column (3)) and a standard utilitarian criterion (in column (5)). Both columns use the optimal tax formula T'(z)=[1-G(z)]/[1-G(z)+</t>
    </r>
    <r>
      <rPr>
        <sz val="10"/>
        <color theme="1"/>
        <rFont val="Symbol"/>
      </rPr>
      <t>a</t>
    </r>
    <r>
      <rPr>
        <sz val="10"/>
        <color theme="1"/>
        <rFont val="Calibri"/>
        <scheme val="minor"/>
      </rPr>
      <t xml:space="preserve">(z)*e] discussed in the text where G(z) is the average social marginal welfare weight above income level z, </t>
    </r>
    <r>
      <rPr>
        <sz val="10"/>
        <color theme="1"/>
        <rFont val="Symbol"/>
      </rPr>
      <t>a</t>
    </r>
    <r>
      <rPr>
        <sz val="10"/>
        <color theme="1"/>
        <rFont val="Calibri"/>
        <scheme val="minor"/>
      </rPr>
      <t xml:space="preserve">(z)=(zh(z))/(1-H(z)) is the local Pareto parameter (with h(z) the density of income at z, and H(z) the cumulative distribution), and e the elasticity of reported income with respect to 1-T'(z). We assume e=0.5. We calibrate </t>
    </r>
    <r>
      <rPr>
        <sz val="10"/>
        <color theme="1"/>
        <rFont val="Symbol"/>
      </rPr>
      <t>a</t>
    </r>
    <r>
      <rPr>
        <sz val="10"/>
        <color theme="1"/>
        <rFont val="Calibri"/>
        <scheme val="minor"/>
      </rPr>
      <t>(z) using the actual distribution of income based on 2008 income tax return data. For the equality of opportunity criterion, G(z) is the representation index of individuals with income above z who come from a disadvantaged background (defined as having a parent with income below the median). This representation index is estimated using the national intergenerational mobility statistics of Chetty et al. (2013) based on all US individuals born in 1980-1 with their income measured at age 30-31. For the utilitarian criterion, we assume a log-utility so that the social welfare weight g(z) at income level z is proportional to 1/(z-T(z)).</t>
    </r>
  </si>
  <si>
    <t>Utilitarian optimal marginal tax rate at each percentile</t>
  </si>
  <si>
    <t>Notes: computations based on the 2008 individual tax data public use file available at NBER. Percentiles are computed based on the full population of tax filers (and ignoring the fact about about 5-10% of US families do not file tax returns). Income z is defined as Adjusted Gross Income (AGI). Density h(z) at income level z is computed as the fraction of tax returns in the interval [.9*z,1.1*z] divided by .2*z.</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</si>
</sst>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8" formatCode="0.000"/>
  </numFmts>
  <fonts count="9"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scheme val="minor"/>
    </font>
    <font>
      <sz val="8"/>
      <name val="Calibri"/>
      <family val="2"/>
      <scheme val="minor"/>
    </font>
    <font>
      <b/>
      <sz val="12"/>
      <color theme="1"/>
      <name val="Calibri"/>
      <family val="2"/>
      <scheme val="minor"/>
    </font>
    <font>
      <sz val="10"/>
      <color theme="1"/>
      <name val="Calibri"/>
      <scheme val="minor"/>
    </font>
    <font>
      <sz val="10"/>
      <color theme="1"/>
      <name val="Symbol"/>
    </font>
    <font>
      <sz val="14"/>
      <color theme="1"/>
      <name val="Calibri"/>
      <scheme val="minor"/>
    </font>
  </fonts>
  <fills count="2">
    <fill>
      <patternFill patternType="none"/>
    </fill>
    <fill>
      <patternFill patternType="gray125"/>
    </fill>
  </fills>
  <borders count="5">
    <border>
      <left/>
      <right/>
      <top/>
      <bottom/>
      <diagonal/>
    </border>
    <border>
      <left/>
      <right/>
      <top/>
      <bottom style="thin">
        <color auto="1"/>
      </bottom>
      <diagonal/>
    </border>
    <border>
      <left/>
      <right/>
      <top/>
      <bottom style="double">
        <color auto="1"/>
      </bottom>
      <diagonal/>
    </border>
    <border>
      <left/>
      <right/>
      <top style="thin">
        <color auto="1"/>
      </top>
      <bottom/>
      <diagonal/>
    </border>
    <border>
      <left/>
      <right/>
      <top style="double">
        <color auto="1"/>
      </top>
      <bottom style="thin">
        <color auto="1"/>
      </bottom>
      <diagonal/>
    </border>
  </borders>
  <cellStyleXfs count="13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8">
    <xf numFmtId="0" fontId="0" fillId="0" borderId="0" xfId="0"/>
    <xf numFmtId="0" fontId="0" fillId="0" borderId="1" xfId="0" applyBorder="1"/>
    <xf numFmtId="0" fontId="0" fillId="0" borderId="1" xfId="0" quotePrefix="1" applyBorder="1" applyAlignment="1">
      <alignment horizontal="center"/>
    </xf>
    <xf numFmtId="0" fontId="0" fillId="0" borderId="0" xfId="0" quotePrefix="1" applyBorder="1" applyAlignment="1">
      <alignment horizontal="center"/>
    </xf>
    <xf numFmtId="0" fontId="5" fillId="0" borderId="0" xfId="0" applyFont="1"/>
    <xf numFmtId="164" fontId="0" fillId="0" borderId="0" xfId="0" applyNumberFormat="1"/>
    <xf numFmtId="164" fontId="0" fillId="0" borderId="0" xfId="0" applyNumberFormat="1" applyAlignment="1">
      <alignment horizontal="center"/>
    </xf>
    <xf numFmtId="0" fontId="0" fillId="0" borderId="1" xfId="0" applyFont="1" applyBorder="1"/>
    <xf numFmtId="0" fontId="0" fillId="0" borderId="1" xfId="0" applyFont="1" applyBorder="1" applyAlignment="1">
      <alignment horizontal="center" wrapText="1"/>
    </xf>
    <xf numFmtId="165" fontId="0" fillId="0" borderId="1" xfId="0" applyNumberFormat="1" applyBorder="1" applyAlignment="1">
      <alignment horizontal="center"/>
    </xf>
    <xf numFmtId="0" fontId="5" fillId="0" borderId="0" xfId="0" applyFont="1" applyBorder="1" applyAlignment="1">
      <alignment horizontal="center"/>
    </xf>
    <xf numFmtId="9" fontId="0" fillId="0" borderId="0" xfId="0" applyNumberFormat="1" applyAlignment="1">
      <alignment horizontal="center" wrapText="1"/>
    </xf>
    <xf numFmtId="168" fontId="0" fillId="0" borderId="0" xfId="0" applyNumberFormat="1" applyAlignment="1">
      <alignment horizontal="center" wrapText="1"/>
    </xf>
    <xf numFmtId="164" fontId="0" fillId="0" borderId="0" xfId="0" applyNumberFormat="1" applyAlignment="1">
      <alignment horizontal="center" wrapText="1"/>
    </xf>
    <xf numFmtId="0" fontId="5" fillId="0" borderId="1" xfId="0" applyFont="1" applyBorder="1" applyAlignment="1">
      <alignment horizontal="center"/>
    </xf>
    <xf numFmtId="9" fontId="0" fillId="0" borderId="0" xfId="0" applyNumberFormat="1"/>
    <xf numFmtId="2" fontId="5" fillId="0" borderId="0" xfId="0" applyNumberFormat="1" applyFont="1" applyBorder="1" applyAlignment="1">
      <alignment horizontal="center" wrapText="1"/>
    </xf>
    <xf numFmtId="2" fontId="0" fillId="0" borderId="0" xfId="0" applyNumberFormat="1" applyBorder="1" applyAlignment="1">
      <alignment horizontal="center" wrapText="1"/>
    </xf>
    <xf numFmtId="0" fontId="0" fillId="0" borderId="0" xfId="0" applyFont="1" applyBorder="1" applyAlignment="1">
      <alignment horizontal="left" wrapText="1"/>
    </xf>
    <xf numFmtId="0" fontId="5" fillId="0" borderId="0" xfId="0" applyFont="1" applyBorder="1" applyAlignment="1">
      <alignment horizontal="left" wrapText="1"/>
    </xf>
    <xf numFmtId="2" fontId="3" fillId="0" borderId="2" xfId="0" applyNumberFormat="1" applyFont="1" applyBorder="1" applyAlignment="1">
      <alignment horizontal="center" wrapText="1"/>
    </xf>
    <xf numFmtId="2" fontId="8" fillId="0" borderId="2" xfId="0" applyNumberFormat="1" applyFont="1" applyBorder="1" applyAlignment="1">
      <alignment horizontal="center" wrapText="1"/>
    </xf>
    <xf numFmtId="0" fontId="6" fillId="0" borderId="3" xfId="0" applyFont="1" applyBorder="1" applyAlignment="1">
      <alignment horizontal="justify" wrapText="1"/>
    </xf>
    <xf numFmtId="0" fontId="0" fillId="0" borderId="3" xfId="0" applyBorder="1" applyAlignment="1">
      <alignment horizontal="justify" wrapText="1"/>
    </xf>
    <xf numFmtId="2" fontId="5" fillId="0" borderId="4" xfId="0" applyNumberFormat="1" applyFont="1" applyBorder="1" applyAlignment="1">
      <alignment horizontal="center" wrapText="1"/>
    </xf>
    <xf numFmtId="0" fontId="5" fillId="0" borderId="4" xfId="0" applyFont="1" applyBorder="1" applyAlignment="1">
      <alignment horizontal="center" wrapText="1"/>
    </xf>
    <xf numFmtId="0" fontId="0" fillId="0" borderId="4" xfId="0" applyBorder="1" applyAlignment="1">
      <alignment horizontal="center" wrapText="1"/>
    </xf>
    <xf numFmtId="0" fontId="0" fillId="0" borderId="0" xfId="0" applyAlignment="1">
      <alignment wrapText="1"/>
    </xf>
  </cellXfs>
  <cellStyles count="13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
  <sheetViews>
    <sheetView tabSelected="1" topLeftCell="A11" zoomScale="125" zoomScaleNormal="125" zoomScalePageLayoutView="125" workbookViewId="0">
      <selection activeCell="K6" sqref="K6"/>
    </sheetView>
  </sheetViews>
  <sheetFormatPr baseColWidth="10" defaultColWidth="11" defaultRowHeight="15" x14ac:dyDescent="0"/>
  <cols>
    <col min="1" max="1" width="13.5" customWidth="1"/>
    <col min="2" max="2" width="3.33203125" customWidth="1"/>
    <col min="3" max="3" width="13.6640625" customWidth="1"/>
    <col min="4" max="4" width="1" customWidth="1"/>
    <col min="5" max="5" width="12.6640625" customWidth="1"/>
    <col min="6" max="6" width="1" customWidth="1"/>
    <col min="7" max="7" width="12.33203125" customWidth="1"/>
    <col min="8" max="8" width="1.33203125" customWidth="1"/>
    <col min="9" max="9" width="11.83203125" customWidth="1"/>
    <col min="10" max="10" width="1" customWidth="1"/>
    <col min="11" max="11" width="11.33203125" customWidth="1"/>
  </cols>
  <sheetData>
    <row r="1" spans="1:20" ht="23" customHeight="1" thickBot="1">
      <c r="A1" s="20" t="s">
        <v>20</v>
      </c>
      <c r="B1" s="20"/>
      <c r="C1" s="20"/>
      <c r="D1" s="20"/>
      <c r="E1" s="20"/>
      <c r="F1" s="21"/>
      <c r="G1" s="21"/>
      <c r="H1" s="21"/>
      <c r="I1" s="21"/>
      <c r="J1" s="21"/>
      <c r="K1" s="21"/>
      <c r="M1" t="s">
        <v>13</v>
      </c>
      <c r="N1" t="s">
        <v>19</v>
      </c>
      <c r="O1">
        <v>0.5</v>
      </c>
    </row>
    <row r="2" spans="1:20" ht="23" customHeight="1" thickTop="1">
      <c r="A2" s="16"/>
      <c r="B2" s="16"/>
      <c r="C2" s="24" t="s">
        <v>23</v>
      </c>
      <c r="D2" s="26"/>
      <c r="E2" s="26"/>
      <c r="F2" s="26"/>
      <c r="G2" s="26"/>
      <c r="H2" s="17"/>
      <c r="I2" s="24" t="s">
        <v>24</v>
      </c>
      <c r="J2" s="25"/>
      <c r="K2" s="25"/>
    </row>
    <row r="3" spans="1:20" ht="93" customHeight="1">
      <c r="A3" s="18"/>
      <c r="B3" s="10"/>
      <c r="C3" s="8" t="s">
        <v>25</v>
      </c>
      <c r="D3" s="14"/>
      <c r="E3" s="8" t="s">
        <v>11</v>
      </c>
      <c r="F3" s="14"/>
      <c r="G3" s="8" t="s">
        <v>12</v>
      </c>
      <c r="H3" s="10"/>
      <c r="I3" s="8" t="s">
        <v>21</v>
      </c>
      <c r="J3" s="14"/>
      <c r="K3" s="8" t="s">
        <v>27</v>
      </c>
      <c r="M3" t="s">
        <v>15</v>
      </c>
      <c r="N3" t="s">
        <v>16</v>
      </c>
      <c r="O3" t="s">
        <v>17</v>
      </c>
      <c r="P3" t="s">
        <v>14</v>
      </c>
      <c r="Q3" t="s">
        <v>18</v>
      </c>
    </row>
    <row r="4" spans="1:20">
      <c r="C4" s="2" t="s">
        <v>0</v>
      </c>
      <c r="D4" s="2"/>
      <c r="E4" s="2" t="s">
        <v>1</v>
      </c>
      <c r="F4" s="2"/>
      <c r="G4" s="2" t="s">
        <v>2</v>
      </c>
      <c r="H4" s="2"/>
      <c r="I4" s="2" t="s">
        <v>3</v>
      </c>
      <c r="J4" s="2"/>
      <c r="K4" s="2" t="s">
        <v>4</v>
      </c>
    </row>
    <row r="5" spans="1:20" ht="29" customHeight="1">
      <c r="A5" s="19" t="s">
        <v>22</v>
      </c>
      <c r="C5" s="3"/>
      <c r="D5" s="3"/>
      <c r="E5" s="3"/>
      <c r="F5" s="3"/>
      <c r="G5" s="3"/>
      <c r="H5" s="3"/>
      <c r="I5" s="3"/>
      <c r="J5" s="3"/>
      <c r="K5" s="3"/>
    </row>
    <row r="6" spans="1:20">
      <c r="A6" t="s">
        <v>5</v>
      </c>
      <c r="C6" s="13">
        <v>0.443</v>
      </c>
      <c r="D6" s="6"/>
      <c r="E6" s="12">
        <f t="shared" ref="E6:E11" si="0">2*C6</f>
        <v>0.88600000000000001</v>
      </c>
      <c r="F6" s="6"/>
      <c r="G6" s="11">
        <f>(1-E6)/(1-E6+$O6*$O$1)</f>
        <v>0.52844649092988039</v>
      </c>
      <c r="H6" s="6"/>
      <c r="I6" s="12">
        <f t="shared" ref="I6:I11" si="1">P6</f>
        <v>0.79300000000000004</v>
      </c>
      <c r="J6" s="6"/>
      <c r="K6" s="11">
        <f>(1-P6)/(1-P6+$O6*$O$1)</f>
        <v>0.67049601589323882</v>
      </c>
      <c r="M6">
        <v>10770</v>
      </c>
      <c r="N6">
        <f>0.15259</f>
        <v>0.15259</v>
      </c>
      <c r="O6">
        <f>N6/0.75</f>
        <v>0.20345333333333335</v>
      </c>
      <c r="P6">
        <v>0.79300000000000004</v>
      </c>
      <c r="Q6" s="15">
        <f t="shared" ref="Q6:Q11" si="2">1/(1+O6*0.5)</f>
        <v>0.90766614828844416</v>
      </c>
    </row>
    <row r="7" spans="1:20">
      <c r="A7" t="s">
        <v>6</v>
      </c>
      <c r="C7" s="13">
        <v>0.373</v>
      </c>
      <c r="D7" s="6"/>
      <c r="E7" s="12">
        <f t="shared" si="0"/>
        <v>0.746</v>
      </c>
      <c r="F7" s="6"/>
      <c r="G7" s="11">
        <f t="shared" ref="G7:G11" si="3">(1-E7)/(1-E7+$O7*$O$1)</f>
        <v>0.44805080261068975</v>
      </c>
      <c r="H7" s="6"/>
      <c r="I7" s="12">
        <f t="shared" si="1"/>
        <v>0.57399999999999995</v>
      </c>
      <c r="J7" s="6"/>
      <c r="K7" s="11">
        <f t="shared" ref="K7:K11" si="4">(1-P7)/(1-P7+$O7*$O$1)</f>
        <v>0.57653268371904176</v>
      </c>
      <c r="M7">
        <v>28960</v>
      </c>
      <c r="N7">
        <v>0.31290000000000001</v>
      </c>
      <c r="O7">
        <f>N7/0.5</f>
        <v>0.62580000000000002</v>
      </c>
      <c r="P7">
        <v>0.57399999999999995</v>
      </c>
      <c r="Q7" s="15">
        <f t="shared" si="2"/>
        <v>0.76167263310229261</v>
      </c>
    </row>
    <row r="8" spans="1:20">
      <c r="A8" t="s">
        <v>7</v>
      </c>
      <c r="C8" s="13">
        <v>0.30299999999999999</v>
      </c>
      <c r="D8" s="5"/>
      <c r="E8" s="12">
        <f t="shared" si="0"/>
        <v>0.60599999999999998</v>
      </c>
      <c r="F8" s="5"/>
      <c r="G8" s="11">
        <f t="shared" si="3"/>
        <v>0.397497982243745</v>
      </c>
      <c r="H8" s="5"/>
      <c r="I8" s="12">
        <f t="shared" si="1"/>
        <v>0.38500000000000001</v>
      </c>
      <c r="J8" s="5"/>
      <c r="K8" s="11">
        <f t="shared" si="4"/>
        <v>0.50734202276852003</v>
      </c>
      <c r="M8">
        <v>62950</v>
      </c>
      <c r="N8">
        <v>0.29859999999999998</v>
      </c>
      <c r="O8">
        <f>N8/0.25</f>
        <v>1.1943999999999999</v>
      </c>
      <c r="P8">
        <v>0.38500000000000001</v>
      </c>
      <c r="Q8" s="15">
        <f t="shared" si="2"/>
        <v>0.62609566741798151</v>
      </c>
    </row>
    <row r="9" spans="1:20">
      <c r="A9" t="s">
        <v>8</v>
      </c>
      <c r="B9" s="4"/>
      <c r="C9" s="13">
        <v>0.23599999999999999</v>
      </c>
      <c r="E9" s="12">
        <f t="shared" si="0"/>
        <v>0.47199999999999998</v>
      </c>
      <c r="G9" s="11">
        <f t="shared" si="3"/>
        <v>0.33965905435831456</v>
      </c>
      <c r="I9" s="12">
        <f t="shared" si="1"/>
        <v>0.255</v>
      </c>
      <c r="K9" s="11">
        <f t="shared" si="4"/>
        <v>0.42054755856618681</v>
      </c>
      <c r="M9">
        <v>109400</v>
      </c>
      <c r="N9">
        <v>0.20530000000000001</v>
      </c>
      <c r="O9">
        <f>N9/0.1</f>
        <v>2.0529999999999999</v>
      </c>
      <c r="P9">
        <v>0.255</v>
      </c>
      <c r="Q9" s="15">
        <f t="shared" si="2"/>
        <v>0.49346163335800641</v>
      </c>
    </row>
    <row r="10" spans="1:20">
      <c r="A10" t="s">
        <v>9</v>
      </c>
      <c r="B10" s="4"/>
      <c r="C10" s="13">
        <v>0.17</v>
      </c>
      <c r="D10" s="6"/>
      <c r="E10" s="12">
        <f t="shared" si="0"/>
        <v>0.34</v>
      </c>
      <c r="F10" s="6"/>
      <c r="G10" s="11">
        <f t="shared" si="3"/>
        <v>0.45643153526970948</v>
      </c>
      <c r="H10" s="6"/>
      <c r="I10" s="12">
        <f t="shared" si="1"/>
        <v>7.6999999999999999E-2</v>
      </c>
      <c r="J10" s="6"/>
      <c r="K10" s="11">
        <f t="shared" si="4"/>
        <v>0.540081919251024</v>
      </c>
      <c r="M10">
        <v>360300</v>
      </c>
      <c r="N10">
        <v>1.5720000000000001E-2</v>
      </c>
      <c r="O10">
        <f>N10/0.01</f>
        <v>1.5720000000000001</v>
      </c>
      <c r="P10">
        <v>7.6999999999999999E-2</v>
      </c>
      <c r="Q10" s="15">
        <f t="shared" si="2"/>
        <v>0.55991041433370659</v>
      </c>
    </row>
    <row r="11" spans="1:20">
      <c r="A11" t="s">
        <v>10</v>
      </c>
      <c r="B11" s="4"/>
      <c r="C11" s="13">
        <v>0.16500000000000001</v>
      </c>
      <c r="D11" s="6"/>
      <c r="E11" s="12">
        <f t="shared" si="0"/>
        <v>0.33</v>
      </c>
      <c r="F11" s="6"/>
      <c r="G11" s="11">
        <f t="shared" si="3"/>
        <v>0.46771378708551475</v>
      </c>
      <c r="H11" s="6"/>
      <c r="I11" s="12">
        <f t="shared" si="1"/>
        <v>1.6E-2</v>
      </c>
      <c r="J11" s="6"/>
      <c r="K11" s="11">
        <f t="shared" si="4"/>
        <v>0.56341253936444313</v>
      </c>
      <c r="M11">
        <v>1696000</v>
      </c>
      <c r="N11">
        <f>0.001525</f>
        <v>1.5250000000000001E-3</v>
      </c>
      <c r="O11">
        <f>N11/0.001</f>
        <v>1.5250000000000001</v>
      </c>
      <c r="P11">
        <v>1.6E-2</v>
      </c>
      <c r="Q11" s="15">
        <f t="shared" si="2"/>
        <v>0.56737588652482263</v>
      </c>
    </row>
    <row r="12" spans="1:20" ht="7" customHeight="1">
      <c r="A12" s="7"/>
      <c r="B12" s="1"/>
      <c r="C12" s="9"/>
      <c r="D12" s="9"/>
      <c r="E12" s="9"/>
      <c r="F12" s="9"/>
      <c r="G12" s="9"/>
      <c r="H12" s="9"/>
      <c r="I12" s="9"/>
      <c r="J12" s="9"/>
      <c r="K12" s="9"/>
    </row>
    <row r="13" spans="1:20" ht="164" customHeight="1">
      <c r="A13" s="22" t="s">
        <v>26</v>
      </c>
      <c r="B13" s="22"/>
      <c r="C13" s="22"/>
      <c r="D13" s="22"/>
      <c r="E13" s="22"/>
      <c r="F13" s="23"/>
      <c r="G13" s="23"/>
      <c r="H13" s="23"/>
      <c r="I13" s="23"/>
      <c r="J13" s="23"/>
      <c r="K13" s="23"/>
      <c r="M13" s="27" t="s">
        <v>28</v>
      </c>
      <c r="N13" s="27"/>
      <c r="O13" s="27"/>
      <c r="P13" s="27"/>
      <c r="Q13" s="27"/>
      <c r="R13" s="27"/>
      <c r="S13" s="27"/>
      <c r="T13" s="27"/>
    </row>
    <row r="14" spans="1:20" ht="147" customHeight="1"/>
  </sheetData>
  <mergeCells count="5">
    <mergeCell ref="A1:K1"/>
    <mergeCell ref="A13:K13"/>
    <mergeCell ref="I2:K2"/>
    <mergeCell ref="C2:G2"/>
    <mergeCell ref="M13:T13"/>
  </mergeCells>
  <phoneticPr fontId="4"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Table2(IGE)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saez</dc:creator>
  <cp:lastModifiedBy>emmanuel saez</cp:lastModifiedBy>
  <cp:lastPrinted>2013-12-19T04:49:38Z</cp:lastPrinted>
  <dcterms:created xsi:type="dcterms:W3CDTF">2012-11-25T23:08:41Z</dcterms:created>
  <dcterms:modified xsi:type="dcterms:W3CDTF">2015-07-14T22:04:56Z</dcterms:modified>
</cp:coreProperties>
</file>